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26" i="1" l="1"/>
  <c r="M11" i="1"/>
  <c r="L21" i="1"/>
  <c r="I21" i="1"/>
  <c r="H21" i="1"/>
  <c r="F21" i="1"/>
  <c r="N11" i="1"/>
  <c r="N21" i="1" s="1"/>
  <c r="J11" i="1"/>
  <c r="N23" i="1" l="1"/>
  <c r="N22" i="1"/>
  <c r="J21" i="1"/>
  <c r="M21" i="1"/>
  <c r="N24" i="1" l="1"/>
</calcChain>
</file>

<file path=xl/sharedStrings.xml><?xml version="1.0" encoding="utf-8"?>
<sst xmlns="http://schemas.openxmlformats.org/spreadsheetml/2006/main" count="43" uniqueCount="43">
  <si>
    <t>GSTIN</t>
  </si>
  <si>
    <t>Customer Copy</t>
  </si>
  <si>
    <t>TAX INVOICE</t>
  </si>
  <si>
    <t>PH: 0120-256211,MOB : 9811284390 , 9873340051</t>
  </si>
  <si>
    <t>Customer Name</t>
  </si>
  <si>
    <t>Customer Address</t>
  </si>
  <si>
    <t>State</t>
  </si>
  <si>
    <t>State Code</t>
  </si>
  <si>
    <t>S. No</t>
  </si>
  <si>
    <t>HSN Code</t>
  </si>
  <si>
    <t>Purity</t>
  </si>
  <si>
    <t>Gross Wt.</t>
  </si>
  <si>
    <t>Less Wt</t>
  </si>
  <si>
    <t>Net Wt.</t>
  </si>
  <si>
    <t>Rate</t>
  </si>
  <si>
    <t>Value</t>
  </si>
  <si>
    <t>Making Charge</t>
  </si>
  <si>
    <t>Making Value</t>
  </si>
  <si>
    <t>Amount (Rupees)</t>
  </si>
  <si>
    <t>Description</t>
  </si>
  <si>
    <t>Invoice No</t>
  </si>
  <si>
    <t>Invoice Date</t>
  </si>
  <si>
    <t>Product Code</t>
  </si>
  <si>
    <t>18 KT</t>
  </si>
  <si>
    <t>Total</t>
  </si>
  <si>
    <t>SGST 1.50%</t>
  </si>
  <si>
    <t>CGST 1.50%</t>
  </si>
  <si>
    <t>Total Amount with Tax</t>
  </si>
  <si>
    <t>Total Value in words</t>
  </si>
  <si>
    <t>Round Off</t>
  </si>
  <si>
    <t>Receipt Card</t>
  </si>
  <si>
    <t>Terms &amp; Conditions</t>
  </si>
  <si>
    <t>1. This is computer Generated Documents , No need to Signature.</t>
  </si>
  <si>
    <t>2. Any disput among the parties shall be setteled subject to the Gurgaon jurisdictiononly.</t>
  </si>
  <si>
    <t>4. No Warranty on burnt &amp; Physical damage.</t>
  </si>
  <si>
    <t xml:space="preserve">5. We Declare that This invoice Any Jewellry Changeable With in One Week , After One Week Making Charges and GST Chargable are true and correct. </t>
  </si>
  <si>
    <t>Merxenta Global Private Limited</t>
  </si>
  <si>
    <t>H. No. 999/9, C/o Ranvir, bhim kheri, near Railway station,Gurgaon, sadar Bazar, Haryana,India, 122001</t>
  </si>
  <si>
    <t>SM-HJP-01-RG-000245</t>
  </si>
  <si>
    <t>Gold Ornaments/ Ladies Ring</t>
  </si>
  <si>
    <t>Dia/ STN Value</t>
  </si>
  <si>
    <t xml:space="preserve">Eight Thousand Seven Hundred Forty-Eight Rupees Only. </t>
  </si>
  <si>
    <t xml:space="preserve">For Merxenta Global Private Limited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</si>
</sst>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2" xfId="0" applyFont="1" applyBorder="1" applyAlignment="1"/>
    <xf numFmtId="9" fontId="0" fillId="0" borderId="27" xfId="0" applyNumberFormat="1" applyBorder="1" applyAlignment="1">
      <alignment horizontal="center"/>
    </xf>
    <xf numFmtId="0" fontId="4" fillId="0" borderId="3" xfId="0" applyFont="1" applyBorder="1" applyAlignment="1"/>
    <xf numFmtId="0" fontId="1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0</xdr:col>
      <xdr:colOff>1143000</xdr:colOff>
      <xdr:row>4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"/>
          <a:ext cx="11430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19049</xdr:colOff>
      <xdr:row>2</xdr:row>
      <xdr:rowOff>19049</xdr:rowOff>
    </xdr:from>
    <xdr:to>
      <xdr:col>13</xdr:col>
      <xdr:colOff>857249</xdr:colOff>
      <xdr:row>4</xdr:row>
      <xdr:rowOff>257174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599" y="476249"/>
          <a:ext cx="15525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14" workbookViewId="0">
      <selection activeCell="F28" sqref="F28"/>
    </sheetView>
  </sheetViews>
  <sheetFormatPr defaultRowHeight="15" x14ac:dyDescent="0.25"/>
  <cols>
    <col min="1" max="1" width="17.42578125" style="1" bestFit="1" customWidth="1"/>
    <col min="2" max="2" width="17.42578125" style="1" customWidth="1"/>
    <col min="3" max="3" width="19" style="1" customWidth="1"/>
    <col min="4" max="4" width="9.7109375" style="1" bestFit="1" customWidth="1"/>
    <col min="5" max="5" width="6.28515625" style="1" bestFit="1" customWidth="1"/>
    <col min="6" max="6" width="9.42578125" style="1" bestFit="1" customWidth="1"/>
    <col min="7" max="7" width="7.7109375" style="1" bestFit="1" customWidth="1"/>
    <col min="8" max="8" width="7.85546875" style="1" bestFit="1" customWidth="1"/>
    <col min="9" max="9" width="12" style="1" bestFit="1" customWidth="1"/>
    <col min="10" max="10" width="8.5703125" style="1" bestFit="1" customWidth="1"/>
    <col min="11" max="11" width="8.28515625" style="1" customWidth="1"/>
    <col min="12" max="12" width="10.85546875" style="1" customWidth="1"/>
    <col min="13" max="13" width="10.7109375" style="1" customWidth="1"/>
    <col min="14" max="14" width="12.85546875" style="1" customWidth="1"/>
    <col min="15" max="16384" width="9.140625" style="1"/>
  </cols>
  <sheetData>
    <row r="1" spans="1:14" ht="15.75" thickBot="1" x14ac:dyDescent="0.3">
      <c r="A1" s="25" t="s">
        <v>0</v>
      </c>
      <c r="B1" s="26"/>
      <c r="C1" s="26"/>
      <c r="D1" s="26"/>
      <c r="E1" s="26"/>
      <c r="F1" s="26"/>
      <c r="G1" s="36" t="s">
        <v>1</v>
      </c>
      <c r="H1" s="36"/>
      <c r="I1" s="36"/>
      <c r="J1" s="36"/>
      <c r="K1" s="36"/>
      <c r="L1" s="36"/>
      <c r="M1" s="36"/>
      <c r="N1" s="36"/>
    </row>
    <row r="2" spans="1:14" ht="20.25" thickTop="1" thickBot="1" x14ac:dyDescent="0.35">
      <c r="A2" s="35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20.25" thickTop="1" thickBot="1" x14ac:dyDescent="0.35">
      <c r="A3" s="40"/>
      <c r="B3" s="33" t="s">
        <v>36</v>
      </c>
      <c r="C3" s="33"/>
      <c r="D3" s="33"/>
      <c r="E3" s="33"/>
      <c r="F3" s="33"/>
      <c r="G3" s="33"/>
      <c r="H3" s="33"/>
      <c r="I3" s="33"/>
      <c r="J3" s="33"/>
      <c r="K3" s="33"/>
      <c r="L3" s="34"/>
      <c r="M3" s="28"/>
      <c r="N3" s="30"/>
    </row>
    <row r="4" spans="1:14" ht="20.25" thickTop="1" thickBot="1" x14ac:dyDescent="0.35">
      <c r="A4" s="28"/>
      <c r="B4" s="33" t="s">
        <v>37</v>
      </c>
      <c r="C4" s="33"/>
      <c r="D4" s="33"/>
      <c r="E4" s="33"/>
      <c r="F4" s="33"/>
      <c r="G4" s="33"/>
      <c r="H4" s="33"/>
      <c r="I4" s="33"/>
      <c r="J4" s="33"/>
      <c r="K4" s="33"/>
      <c r="L4" s="34"/>
      <c r="M4" s="28"/>
      <c r="N4" s="30"/>
    </row>
    <row r="5" spans="1:14" ht="20.25" thickTop="1" thickBot="1" x14ac:dyDescent="0.35">
      <c r="A5" s="41"/>
      <c r="B5" s="33" t="s">
        <v>3</v>
      </c>
      <c r="C5" s="33"/>
      <c r="D5" s="33"/>
      <c r="E5" s="33"/>
      <c r="F5" s="33"/>
      <c r="G5" s="33"/>
      <c r="H5" s="33"/>
      <c r="I5" s="33"/>
      <c r="J5" s="33"/>
      <c r="K5" s="33"/>
      <c r="L5" s="34"/>
      <c r="M5" s="29"/>
      <c r="N5" s="31"/>
    </row>
    <row r="6" spans="1:14" ht="16.5" thickTop="1" thickBot="1" x14ac:dyDescent="0.3">
      <c r="A6" s="32" t="s">
        <v>4</v>
      </c>
      <c r="B6" s="37"/>
      <c r="C6" s="37"/>
      <c r="D6" s="37"/>
      <c r="E6" s="37"/>
      <c r="F6" s="37"/>
      <c r="G6" s="37"/>
      <c r="H6" s="37"/>
      <c r="I6" s="32" t="s">
        <v>20</v>
      </c>
      <c r="J6" s="38"/>
      <c r="K6" s="38"/>
      <c r="L6" s="38"/>
      <c r="M6" s="26"/>
      <c r="N6" s="26"/>
    </row>
    <row r="7" spans="1:14" ht="16.5" thickTop="1" thickBot="1" x14ac:dyDescent="0.3">
      <c r="A7" s="25" t="s">
        <v>5</v>
      </c>
      <c r="B7" s="37"/>
      <c r="C7" s="37"/>
      <c r="D7" s="37"/>
      <c r="E7" s="37"/>
      <c r="F7" s="37"/>
      <c r="G7" s="37"/>
      <c r="H7" s="37"/>
      <c r="I7" s="25" t="s">
        <v>21</v>
      </c>
      <c r="J7" s="37"/>
      <c r="K7" s="37"/>
      <c r="L7" s="37"/>
      <c r="M7" s="37"/>
      <c r="N7" s="37"/>
    </row>
    <row r="8" spans="1:14" ht="16.5" thickTop="1" thickBot="1" x14ac:dyDescent="0.3">
      <c r="A8" s="39" t="s">
        <v>6</v>
      </c>
      <c r="B8" s="37"/>
      <c r="C8" s="37"/>
      <c r="D8" s="37"/>
      <c r="E8" s="37"/>
      <c r="F8" s="37"/>
      <c r="G8" s="37"/>
      <c r="H8" s="37"/>
      <c r="I8" s="42"/>
      <c r="J8" s="37"/>
      <c r="K8" s="37"/>
      <c r="L8" s="37"/>
      <c r="M8" s="37"/>
      <c r="N8" s="37"/>
    </row>
    <row r="9" spans="1:14" ht="16.5" thickTop="1" thickBot="1" x14ac:dyDescent="0.3">
      <c r="A9" s="39" t="s">
        <v>7</v>
      </c>
      <c r="B9" s="37"/>
      <c r="C9" s="37"/>
      <c r="D9" s="37"/>
      <c r="E9" s="37"/>
      <c r="F9" s="37"/>
      <c r="G9" s="37"/>
      <c r="H9" s="37"/>
      <c r="I9" s="39"/>
      <c r="J9" s="38"/>
      <c r="K9" s="38"/>
      <c r="L9" s="38"/>
      <c r="M9" s="38"/>
      <c r="N9" s="38"/>
    </row>
    <row r="10" spans="1:14" s="3" customFormat="1" ht="46.5" thickTop="1" thickBot="1" x14ac:dyDescent="0.3">
      <c r="A10" s="56" t="s">
        <v>8</v>
      </c>
      <c r="B10" s="56" t="s">
        <v>22</v>
      </c>
      <c r="C10" s="56" t="s">
        <v>19</v>
      </c>
      <c r="D10" s="56" t="s">
        <v>9</v>
      </c>
      <c r="E10" s="56" t="s">
        <v>10</v>
      </c>
      <c r="F10" s="56" t="s">
        <v>11</v>
      </c>
      <c r="G10" s="56" t="s">
        <v>12</v>
      </c>
      <c r="H10" s="56" t="s">
        <v>13</v>
      </c>
      <c r="I10" s="56" t="s">
        <v>14</v>
      </c>
      <c r="J10" s="56" t="s">
        <v>15</v>
      </c>
      <c r="K10" s="56" t="s">
        <v>40</v>
      </c>
      <c r="L10" s="56" t="s">
        <v>16</v>
      </c>
      <c r="M10" s="56" t="s">
        <v>17</v>
      </c>
      <c r="N10" s="56" t="s">
        <v>18</v>
      </c>
    </row>
    <row r="11" spans="1:14" ht="30" x14ac:dyDescent="0.25">
      <c r="A11" s="43">
        <v>1</v>
      </c>
      <c r="B11" s="45" t="s">
        <v>38</v>
      </c>
      <c r="C11" s="46" t="s">
        <v>39</v>
      </c>
      <c r="D11" s="48">
        <v>71131913</v>
      </c>
      <c r="E11" s="48" t="s">
        <v>23</v>
      </c>
      <c r="F11" s="49">
        <v>1.98</v>
      </c>
      <c r="G11" s="48"/>
      <c r="H11" s="49">
        <v>1.98</v>
      </c>
      <c r="I11" s="50">
        <v>3730</v>
      </c>
      <c r="J11" s="48">
        <f>+H11*I11</f>
        <v>7385.4</v>
      </c>
      <c r="K11" s="48"/>
      <c r="L11" s="54">
        <v>0.15</v>
      </c>
      <c r="M11" s="48">
        <f>+J11*15%</f>
        <v>1107.81</v>
      </c>
      <c r="N11" s="48">
        <f>+M11+J11</f>
        <v>8493.2099999999991</v>
      </c>
    </row>
    <row r="12" spans="1:14" x14ac:dyDescent="0.25">
      <c r="A12" s="44">
        <v>2</v>
      </c>
      <c r="B12" s="44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1:14" x14ac:dyDescent="0.25">
      <c r="A13" s="44">
        <v>3</v>
      </c>
      <c r="B13" s="44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</row>
    <row r="14" spans="1:14" x14ac:dyDescent="0.25">
      <c r="A14" s="44">
        <v>4</v>
      </c>
      <c r="B14" s="44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</row>
    <row r="15" spans="1:14" x14ac:dyDescent="0.25">
      <c r="A15" s="44">
        <v>5</v>
      </c>
      <c r="B15" s="44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14" x14ac:dyDescent="0.25">
      <c r="A16" s="44">
        <v>6</v>
      </c>
      <c r="B16" s="44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</row>
    <row r="17" spans="1:14" x14ac:dyDescent="0.25">
      <c r="A17" s="44">
        <v>7</v>
      </c>
      <c r="B17" s="44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1:14" x14ac:dyDescent="0.25">
      <c r="A18" s="44">
        <v>8</v>
      </c>
      <c r="B18" s="44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</row>
    <row r="19" spans="1:14" x14ac:dyDescent="0.25">
      <c r="A19" s="44">
        <v>9</v>
      </c>
      <c r="B19" s="44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14" ht="15.75" thickBot="1" x14ac:dyDescent="0.3">
      <c r="A20" s="51">
        <v>10</v>
      </c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4" ht="15.75" thickBot="1" x14ac:dyDescent="0.3">
      <c r="A21" s="4" t="s">
        <v>24</v>
      </c>
      <c r="B21" s="5"/>
      <c r="C21" s="5"/>
      <c r="D21" s="5"/>
      <c r="E21" s="5"/>
      <c r="F21" s="7">
        <f>SUM(F11:F20)</f>
        <v>1.98</v>
      </c>
      <c r="G21" s="5"/>
      <c r="H21" s="7">
        <f>SUM(H11:H20)</f>
        <v>1.98</v>
      </c>
      <c r="I21" s="7">
        <f>SUM(I11:I20)</f>
        <v>3730</v>
      </c>
      <c r="J21" s="7">
        <f>SUM(J11:J20)</f>
        <v>7385.4</v>
      </c>
      <c r="K21" s="5"/>
      <c r="L21" s="7">
        <f>SUM(L11:L20)</f>
        <v>0.15</v>
      </c>
      <c r="M21" s="7">
        <f>SUM(M11:M20)</f>
        <v>1107.81</v>
      </c>
      <c r="N21" s="19">
        <f>SUM(N11:N20)</f>
        <v>8493.2099999999991</v>
      </c>
    </row>
    <row r="22" spans="1:14" ht="15.75" thickBot="1" x14ac:dyDescent="0.3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 t="s">
        <v>25</v>
      </c>
      <c r="M22" s="14"/>
      <c r="N22" s="24">
        <f>+N21*1.5%</f>
        <v>127.39814999999999</v>
      </c>
    </row>
    <row r="23" spans="1:14" ht="15.75" thickBo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5" t="s">
        <v>26</v>
      </c>
      <c r="M23" s="16"/>
      <c r="N23" s="20">
        <f>+N21*1.5%</f>
        <v>127.39814999999999</v>
      </c>
    </row>
    <row r="24" spans="1:14" ht="15.75" thickBot="1" x14ac:dyDescent="0.3">
      <c r="A24" s="53" t="s">
        <v>28</v>
      </c>
      <c r="B24" s="55" t="s">
        <v>41</v>
      </c>
      <c r="C24" s="10"/>
      <c r="D24" s="10"/>
      <c r="E24" s="10"/>
      <c r="F24" s="10"/>
      <c r="G24" s="10"/>
      <c r="H24" s="10"/>
      <c r="I24" s="10"/>
      <c r="J24" s="10"/>
      <c r="K24" s="11"/>
      <c r="L24" s="15" t="s">
        <v>27</v>
      </c>
      <c r="M24" s="16"/>
      <c r="N24" s="19">
        <f>+N23+N22+N21</f>
        <v>8748.0062999999991</v>
      </c>
    </row>
    <row r="25" spans="1:14" ht="15.75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7" t="s">
        <v>29</v>
      </c>
      <c r="M25" s="13"/>
      <c r="N25" s="20">
        <v>6.0000000000000001E-3</v>
      </c>
    </row>
    <row r="26" spans="1:14" ht="15.75" thickBot="1" x14ac:dyDescent="0.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8" t="s">
        <v>30</v>
      </c>
      <c r="M26" s="10"/>
      <c r="N26" s="19">
        <f>+N24-N25</f>
        <v>8748.0002999999997</v>
      </c>
    </row>
    <row r="27" spans="1:14" ht="8.25" customHeight="1" thickBot="1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 spans="1:14" x14ac:dyDescent="0.25">
      <c r="K28" s="8" t="s">
        <v>42</v>
      </c>
      <c r="L28" s="8"/>
      <c r="M28" s="8"/>
      <c r="N28" s="8"/>
    </row>
    <row r="29" spans="1:14" x14ac:dyDescent="0.25">
      <c r="K29" s="22"/>
      <c r="L29" s="22"/>
      <c r="M29" s="22"/>
      <c r="N29" s="22"/>
    </row>
    <row r="31" spans="1:14" x14ac:dyDescent="0.25">
      <c r="A31" s="1" t="s">
        <v>31</v>
      </c>
    </row>
    <row r="32" spans="1:14" x14ac:dyDescent="0.25">
      <c r="A32" s="27" t="s">
        <v>32</v>
      </c>
    </row>
    <row r="33" spans="1:1" x14ac:dyDescent="0.25">
      <c r="A33" s="27" t="s">
        <v>33</v>
      </c>
    </row>
    <row r="34" spans="1:1" x14ac:dyDescent="0.25">
      <c r="A34" s="27" t="s">
        <v>34</v>
      </c>
    </row>
    <row r="35" spans="1:1" x14ac:dyDescent="0.25">
      <c r="A35" s="2" t="s">
        <v>35</v>
      </c>
    </row>
  </sheetData>
  <mergeCells count="20">
    <mergeCell ref="K28:N28"/>
    <mergeCell ref="L24:M24"/>
    <mergeCell ref="L22:M22"/>
    <mergeCell ref="L23:M23"/>
    <mergeCell ref="B3:L3"/>
    <mergeCell ref="B4:L4"/>
    <mergeCell ref="B5:L5"/>
    <mergeCell ref="M3:N5"/>
    <mergeCell ref="B6:H6"/>
    <mergeCell ref="B7:H7"/>
    <mergeCell ref="B8:H8"/>
    <mergeCell ref="B9:H9"/>
    <mergeCell ref="J6:N6"/>
    <mergeCell ref="J7:N7"/>
    <mergeCell ref="J8:N8"/>
    <mergeCell ref="J9:N9"/>
    <mergeCell ref="A2:N2"/>
    <mergeCell ref="B1:F1"/>
    <mergeCell ref="G1:N1"/>
    <mergeCell ref="A3:A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Mishra</dc:creator>
  <cp:lastModifiedBy>Krishna Mishra</cp:lastModifiedBy>
  <dcterms:created xsi:type="dcterms:W3CDTF">2026-03-23T04:40:57Z</dcterms:created>
  <dcterms:modified xsi:type="dcterms:W3CDTF">2026-03-23T06:30:27Z</dcterms:modified>
</cp:coreProperties>
</file>